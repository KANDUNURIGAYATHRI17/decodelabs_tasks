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scriptive Statistics" sheetId="2" state="visible" r:id="rId4"/>
    <sheet name="Product Analysis" sheetId="3" state="visible" r:id="rId5"/>
    <sheet name="Revenue Trends" sheetId="4" state="visible" r:id="rId6"/>
    <sheet name="Segmentation Analysis" sheetId="5" state="visible" r:id="rId7"/>
    <sheet name="Outlier &amp; Correlation" sheetId="6" state="visible" r:id="rId8"/>
    <sheet name="Quantity 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<sst xmlns="http://schemas.openxmlformats.org/spreadsheetml/2006/main" count="289" uniqueCount="221">
  <si>
    <t xml:space="preserve">DecodeLabs | Data Analytics Project 2 — Exploratory Data Analysis Report</t>
  </si>
  <si>
    <t xml:space="preserve">Analyst: Data Analytics Intern  |  Date: 2026-05-26  |  Dataset: 1,200 Orders | 2023–2025</t>
  </si>
  <si>
    <t xml:space="preserve">Total Orders</t>
  </si>
  <si>
    <t xml:space="preserve">Total Revenue</t>
  </si>
  <si>
    <t xml:space="preserve">Avg Order Value</t>
  </si>
  <si>
    <t xml:space="preserve">Cancellation+Return Rate</t>
  </si>
  <si>
    <t xml:space="preserve">Top Product</t>
  </si>
  <si>
    <t xml:space="preserve">Best Month</t>
  </si>
  <si>
    <t xml:space="preserve">1,200</t>
  </si>
  <si>
    <t xml:space="preserve">$1,264,762</t>
  </si>
  <si>
    <t xml:space="preserve">$1,053.97</t>
  </si>
  <si>
    <t xml:space="preserve">41.4%</t>
  </si>
  <si>
    <t xml:space="preserve">Chair (by orders)</t>
  </si>
  <si>
    <t xml:space="preserve">Jun 2024: $68,069</t>
  </si>
  <si>
    <t xml:space="preserve">1. PROBLEM STATEMENT</t>
  </si>
  <si>
    <t xml:space="preserve">DecodeLabs requires a thorough Exploratory Data Analysis of its 1,200-order e-commerce dataset (Jan 2023 – Jun 2025) to uncover revenue drivers, identify loss patterns, and surface actionable business intelligence before predictive modelling begins.</t>
  </si>
  <si>
    <t xml:space="preserve">2. METHODOLOGY</t>
  </si>
  <si>
    <t xml:space="preserve">  • Descriptive Statistics: Mean, median, std dev, min/max, quartiles on TotalPrice and UnitPrice</t>
  </si>
  <si>
    <t xml:space="preserve">  • Distribution Analysis: Skewness measured (TotalPrice skew=0.891 → right-skewed; median used as centre)</t>
  </si>
  <si>
    <t xml:space="preserve">  • Outlier Detection: IQR method: 8 high-value outliers flagged above $3,330 upper fence</t>
  </si>
  <si>
    <t xml:space="preserve">  • Trend Analysis: Monthly and yearly revenue aggregated to identify seasonality patterns</t>
  </si>
  <si>
    <t xml:space="preserve">  • Segmentation: Revenue broken down by Product, PaymentMethod, ReferralSource, CouponCode, OrderStatus</t>
  </si>
  <si>
    <t xml:space="preserve">  • Correlation Analysis: Pearson r computed: UnitPrice vs TotalPrice (r=0.717); Quantity vs TotalPrice (r=0.615)</t>
  </si>
  <si>
    <t xml:space="preserve">3. KEY FINDINGS</t>
  </si>
  <si>
    <t xml:space="preserve">[CRITICAL]</t>
  </si>
  <si>
    <t xml:space="preserve">41.4% of all orders (497) are Cancelled or Returned — $519,674 in revenue at risk.</t>
  </si>
  <si>
    <t xml:space="preserve">Only 19.3% of orders are Delivered — just $242,600 confirmed revenue collected.</t>
  </si>
  <si>
    <t xml:space="preserve">[INSIGHT]</t>
  </si>
  <si>
    <t xml:space="preserve">UnitPrice is the strongest driver of order value (Pearson r = 0.717 with TotalPrice).</t>
  </si>
  <si>
    <t xml:space="preserve">Quantity ordered has a strong positive correlation with TotalPrice (r = 0.615).</t>
  </si>
  <si>
    <t xml:space="preserve">[POSITIVE]</t>
  </si>
  <si>
    <t xml:space="preserve">Chair leads by order volume (178 orders); Laptop leads by avg order value ($1,110.56).</t>
  </si>
  <si>
    <t xml:space="preserve">Instagram is the top referral channel — $275,285 total revenue (259 orders).</t>
  </si>
  <si>
    <t xml:space="preserve">[TREND]</t>
  </si>
  <si>
    <t xml:space="preserve">Revenue peaked in June 2024 ($68,069) and was lowest in April 2023 ($27,752).</t>
  </si>
  <si>
    <t xml:space="preserve">TotalPrice distribution is right-skewed (skew=0.891); median $823.62 is a better central measure than mean $1,054.</t>
  </si>
  <si>
    <t xml:space="preserve">[OUTLIER]</t>
  </si>
  <si>
    <t xml:space="preserve">8 high-value orders exceed $3,330 (IQR upper fence) — all involve Qty=5 at max unit prices.</t>
  </si>
  <si>
    <t xml:space="preserve">4. RECOMMENDATIONS</t>
  </si>
  <si>
    <t xml:space="preserve">  1. Urgently investigate the 41.4% cancellation/return rate — identify root causes by product category and payment method.</t>
  </si>
  <si>
    <t xml:space="preserve">  2. Double down on Instagram and Email referral channels — highest revenue per channel; consider increased ad spend.</t>
  </si>
  <si>
    <t xml:space="preserve">  3. Introduce a premium product line targeting Qty=5 buyers — these orders generate the highest TotalPrice consistently.</t>
  </si>
  <si>
    <t xml:space="preserve">  4. Run June promotions to capitalize on the seasonal peak pattern observed (Jun 2024: $68,069 was the top month).</t>
  </si>
  <si>
    <t xml:space="preserve">  5. Monitor the 8 high-value outlier orders — check for VIP customers or potential fraud patterns.</t>
  </si>
  <si>
    <t xml:space="preserve">Descriptive Statistics — Five-Number Summary &amp; Distribution Analysis</t>
  </si>
  <si>
    <t xml:space="preserve">Dataset: 1,200 orders | Generated: 2026-05-26</t>
  </si>
  <si>
    <t xml:space="preserve">Metric</t>
  </si>
  <si>
    <t xml:space="preserve">TotalPrice ($)</t>
  </si>
  <si>
    <t xml:space="preserve">UnitPrice ($)</t>
  </si>
  <si>
    <t xml:space="preserve">Quantity</t>
  </si>
  <si>
    <t xml:space="preserve">ItemsInCart</t>
  </si>
  <si>
    <t xml:space="preserve">Count</t>
  </si>
  <si>
    <t xml:space="preserve">Mean</t>
  </si>
  <si>
    <t xml:space="preserve">Median (Q2)</t>
  </si>
  <si>
    <t xml:space="preserve">Std Dev</t>
  </si>
  <si>
    <t xml:space="preserve">Min</t>
  </si>
  <si>
    <t xml:space="preserve">Q1 (25th pct)</t>
  </si>
  <si>
    <t xml:space="preserve">Q3 (75th pct)</t>
  </si>
  <si>
    <t xml:space="preserve">Max</t>
  </si>
  <si>
    <t xml:space="preserve">IQR</t>
  </si>
  <si>
    <t xml:space="preserve">Skewness</t>
  </si>
  <si>
    <t xml:space="preserve">KEY INTERPRETATIONS</t>
  </si>
  <si>
    <t xml:space="preserve">  → TotalPrice is RIGHT-SKEWED (skew = 0.891): mean ($1,053.97) &gt; median ($823.62). Use MEDIAN as the better central measure.</t>
  </si>
  <si>
    <t xml:space="preserve">Product Analysis — Revenue, Orders &amp; Pricing by Product Category</t>
  </si>
  <si>
    <t xml:space="preserve">Ranked by Total Revenue | All figures in USD</t>
  </si>
  <si>
    <t xml:space="preserve">Rank</t>
  </si>
  <si>
    <t xml:space="preserve">Product</t>
  </si>
  <si>
    <t xml:space="preserve">Total Revenue ($)</t>
  </si>
  <si>
    <t xml:space="preserve">Avg Order Value ($)</t>
  </si>
  <si>
    <t xml:space="preserve">Avg Unit Price ($)</t>
  </si>
  <si>
    <t xml:space="preserve">Avg Qty</t>
  </si>
  <si>
    <t xml:space="preserve">Revenue Share (%)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</si>
  <si>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</si>
  <si>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</si>
  <si>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</si>
  <si>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</si>
  <si>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</si>
  <si>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</si>
  <si>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</si>
  <si>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Order Status Breakdown by Product</t>
  </si>
  <si>
    <t xml:space="preserve">Cancelled</t>
  </si>
  <si>
    <t xml:space="preserve">Delivered</t>
  </si>
  <si>
    <t xml:space="preserve">Pending</t>
  </si>
  <si>
    <t xml:space="preserve">Returned</t>
  </si>
  <si>
    <t xml:space="preserve">Shipped</t>
  </si>
  <si>
    <t xml:space="preserve">Total</t>
  </si>
  <si>
    <t xml:space="preserve">Revenue Trends — Monthly &amp; Yearly Analysis (2023–2025)</t>
  </si>
  <si>
    <t xml:space="preserve">Identifies seasonality patterns and growth trajectories</t>
  </si>
  <si>
    <t xml:space="preserve">#</t>
  </si>
  <si>
    <t xml:space="preserve">Year-Month</t>
  </si>
  <si>
    <t xml:space="preserve">Monthly Revenue ($)</t>
  </si>
  <si>
    <t xml:space="preserve">vs Previous Month ($)</t>
  </si>
  <si>
    <t xml:space="preserve">vs Previous Month (%)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</si>
  <si>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</si>
  <si>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</si>
  <si>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</si>
  <si>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</si>
  <si>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</si>
  <si>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</si>
  <si>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</si>
  <si>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</si>
  <si>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</si>
  <si>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</si>
  <si>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</si>
  <si>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</si>
  <si>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</si>
  <si>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</si>
  <si>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</si>
  <si>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</si>
  <si>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</si>
  <si>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</si>
  <si>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</si>
  <si>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</si>
  <si>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</si>
  <si>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</si>
  <si>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</si>
  <si>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</si>
  <si>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</si>
  <si>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</si>
  <si>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</si>
  <si>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</si>
  <si>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</si>
  <si>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</si>
  <si>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Yearly Summary</t>
  </si>
  <si>
    <t xml:space="preserve">Year</t>
  </si>
  <si>
    <t xml:space="preserve">Orders</t>
  </si>
  <si>
    <t xml:space="preserve">Segmentation Analysis — Payment Method, Referral Source &amp; Coupon Code</t>
  </si>
  <si>
    <t xml:space="preserve">Revenue and order count breakdown across key categorical dimensions</t>
  </si>
  <si>
    <t xml:space="preserve">Payment Method Analysis</t>
  </si>
  <si>
    <t xml:space="preserve">Payment Method</t>
  </si>
  <si>
    <t xml:space="preserve">Credit Card</t>
  </si>
  <si>
    <t xml:space="preserve">Online</t>
  </si>
  <si>
    <t xml:space="preserve">Cash</t>
  </si>
  <si>
    <t xml:space="preserve">Gift Card</t>
  </si>
  <si>
    <t xml:space="preserve">Debit Card</t>
  </si>
  <si>
    <t xml:space="preserve">Referral Source Analysis</t>
  </si>
  <si>
    <t xml:space="preserve">Referral Source</t>
  </si>
  <si>
    <t xml:space="preserve">Instagram</t>
  </si>
  <si>
    <t xml:space="preserve">Email</t>
  </si>
  <si>
    <t xml:space="preserve">Google</t>
  </si>
  <si>
    <t xml:space="preserve">Facebook</t>
  </si>
  <si>
    <t xml:space="preserve">Referral</t>
  </si>
  <si>
    <t xml:space="preserve">Coupon Code Analysis</t>
  </si>
  <si>
    <t xml:space="preserve">Coupon Code</t>
  </si>
  <si>
    <t xml:space="preserve">FREESHIP</t>
  </si>
  <si>
    <t xml:space="preserve">No Coupon</t>
  </si>
  <si>
    <t xml:space="preserve">SAVE10</t>
  </si>
  <si>
    <t xml:space="preserve">WINTER15</t>
  </si>
  <si>
    <t xml:space="preserve">Order Status &amp; Revenue Impact Analysis</t>
  </si>
  <si>
    <t xml:space="preserve">Order Status</t>
  </si>
  <si>
    <t xml:space="preserve">% of Total</t>
  </si>
  <si>
    <t xml:space="preserve">Revenue ($)</t>
  </si>
  <si>
    <t xml:space="preserve">Revenue Impact</t>
  </si>
  <si>
    <t xml:space="preserve">20.8%</t>
  </si>
  <si>
    <t xml:space="preserve">LOSS RISK</t>
  </si>
  <si>
    <t xml:space="preserve">19.2%</t>
  </si>
  <si>
    <t xml:space="preserve">CONFIRMED</t>
  </si>
  <si>
    <t xml:space="preserve">19.8%</t>
  </si>
  <si>
    <t xml:space="preserve">PENDING</t>
  </si>
  <si>
    <t xml:space="preserve">20.6%</t>
  </si>
  <si>
    <t xml:space="preserve">19.6%</t>
  </si>
  <si>
    <t xml:space="preserve">Outlier Detection (IQR Method) &amp; Correlation Analysis</t>
  </si>
  <si>
    <t xml:space="preserve">IQR: Outlier &lt; Q1−1.5×IQR or &gt; Q3+1.5×IQR | Pearson r for linear relationships</t>
  </si>
  <si>
    <t xml:space="preserve">IQR OUTLIER DETECTION — TotalPrice</t>
  </si>
  <si>
    <t xml:space="preserve">Q1 (25th percentile)</t>
  </si>
  <si>
    <t xml:space="preserve">$410.52</t>
  </si>
  <si>
    <t xml:space="preserve">Q3 (75th percentile)</t>
  </si>
  <si>
    <t xml:space="preserve">$1,578.47</t>
  </si>
  <si>
    <t xml:space="preserve">IQR (Q3 − Q1)</t>
  </si>
  <si>
    <t xml:space="preserve">$1,167.95</t>
  </si>
  <si>
    <t xml:space="preserve">Lower Fence (Q1 − 1.5×IQR)</t>
  </si>
  <si>
    <t xml:space="preserve">$-1,341.41</t>
  </si>
  <si>
    <t xml:space="preserve">Upper Fence (Q3 + 1.5×IQR)</t>
  </si>
  <si>
    <t xml:space="preserve">$3,330.41</t>
  </si>
  <si>
    <t xml:space="preserve">Outliers Detected</t>
  </si>
  <si>
    <t xml:space="preserve">8 orders</t>
  </si>
  <si>
    <t xml:space="preserve">Flagged High-Value Outlier Orders</t>
  </si>
  <si>
    <t xml:space="preserve">OrderID</t>
  </si>
  <si>
    <t xml:space="preserve">Unit Price ($)</t>
  </si>
  <si>
    <t xml:space="preserve">Total Price ($)</t>
  </si>
  <si>
    <t xml:space="preserve">Flag</t>
  </si>
  <si>
    <t xml:space="preserve">ORD200789</t>
  </si>
  <si>
    <t xml:space="preserve">⚠ HIGH VALUE</t>
  </si>
  <si>
    <t xml:space="preserve">ORD201122</t>
  </si>
  <si>
    <t xml:space="preserve">ORD200632</t>
  </si>
  <si>
    <t xml:space="preserve">ORD200469</t>
  </si>
  <si>
    <t xml:space="preserve">ORD200328</t>
  </si>
  <si>
    <t xml:space="preserve">ORD200107</t>
  </si>
  <si>
    <t xml:space="preserve">ORD200326</t>
  </si>
  <si>
    <t xml:space="preserve">ORD201065</t>
  </si>
  <si>
    <t xml:space="preserve">CORRELATION ANALYSIS — Pearson Correlation Coefficient (r)</t>
  </si>
  <si>
    <t xml:space="preserve">UnitPrice</t>
  </si>
  <si>
    <t xml:space="preserve">TotalPrice</t>
  </si>
  <si>
    <t xml:space="preserve">Correlation Interpretations</t>
  </si>
  <si>
    <t xml:space="preserve">Variable Pair</t>
  </si>
  <si>
    <t xml:space="preserve">r Value</t>
  </si>
  <si>
    <t xml:space="preserve">Business Interpretation</t>
  </si>
  <si>
    <t xml:space="preserve">UnitPrice ↔ TotalPrice</t>
  </si>
  <si>
    <t xml:space="preserve">r = 0.717</t>
  </si>
  <si>
    <t xml:space="preserve">STRONG POSITIVE — Higher priced items are the primary driver of total revenue.</t>
  </si>
  <si>
    <t xml:space="preserve">Quantity ↔ TotalPrice</t>
  </si>
  <si>
    <t xml:space="preserve">r = 0.615</t>
  </si>
  <si>
    <t xml:space="preserve">STRONG POSITIVE — Ordering more units significantly increases order value.</t>
  </si>
  <si>
    <t xml:space="preserve">ItemsInCart ↔ Quantity</t>
  </si>
  <si>
    <t xml:space="preserve">r = 0.650</t>
  </si>
  <si>
    <t xml:space="preserve">STRONG POSITIVE — Customers with more items in cart tend to order higher quantities.</t>
  </si>
  <si>
    <t xml:space="preserve">ItemsInCart ↔ TotalPrice</t>
  </si>
  <si>
    <t xml:space="preserve">r = 0.393</t>
  </si>
  <si>
    <t xml:space="preserve">MODERATE — Cart size has a partial effect on total price, mediated by Quantity.</t>
  </si>
  <si>
    <t xml:space="preserve">UnitPrice ↔ Quantity</t>
  </si>
  <si>
    <t xml:space="preserve">r = 0.015</t>
  </si>
  <si>
    <t xml:space="preserve">NEGLIGIBLE — Price of product has almost no relationship with how many units ordered.</t>
  </si>
  <si>
    <t xml:space="preserve">Revenue by Quantity Ordered — Distribution &amp; Value Analysis</t>
  </si>
  <si>
    <t xml:space="preserve">Shows how quantity drives order value across the 1–5 range</t>
  </si>
  <si>
    <t xml:space="preserve">Quantity Ordered</t>
  </si>
  <si>
    <t xml:space="preserve">Order Count</t>
  </si>
  <si>
    <t xml:space="preserve">% of Orders</t>
  </si>
  <si>
    <t xml:space="preserve">KEY INSIGHT: Revenue scales strongly with quantity</t>
  </si>
  <si>
    <t xml:space="preserve">  → Qty=5 orders generate avg $1,750.86 — 5× more than Qty=1 orders ($351.88 avg)</t>
  </si>
  <si>
    <t xml:space="preserve">  → Qty=4 and Qty=5 together account for the majority of total revenue despite fewer orders</t>
  </si>
  <si>
    <t xml:space="preserve">  → Recommendation: Introduce "Buy More Save More" bundles targeting Qty=3 customers to push to Qty=4+</t>
  </si>
</sst>
</file>

<file path=xl/styles.xml><?xml version="1.0" encoding="utf-8"?>
<styleSheet xmlns="http://schemas.openxmlformats.org/spreadsheetml/2006/main">
  <numFmts count="1">
    <numFmt numFmtId="164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b val="true"/>
      <sz val="13"/>
      <color rgb="FF375623"/>
      <name val="Arial"/>
      <family val="0"/>
      <charset val="1"/>
    </font>
    <font>
      <b val="true"/>
      <sz val="13"/>
      <color rgb="FF7F6000"/>
      <name val="Arial"/>
      <family val="0"/>
      <charset val="1"/>
    </font>
    <font>
      <b val="true"/>
      <sz val="13"/>
      <color rgb="FFC00000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C00000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7F6000"/>
      <name val="Arial"/>
      <family val="0"/>
      <charset val="1"/>
    </font>
    <font>
      <b val="true"/>
      <sz val="11"/>
      <color rgb="FF37562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(2023–2025)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'Revenue Trends'!C5</c:f>
              <c:strCache>
                <c:ptCount val="1"/>
                <c:pt idx="0">
                  <c:v>Monthly Revenue ($)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Trends'!$B$6:$B$35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'Revenue Trends'!$C$6:$C$35</c:f>
              <c:numCache>
                <c:formatCode>General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8974807"/>
        <c:axId val="46561947"/>
      </c:lineChart>
      <c:catAx>
        <c:axId val="18974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561947"/>
        <c:crosses val="autoZero"/>
        <c:auto val="1"/>
        <c:lblAlgn val="ctr"/>
        <c:lblOffset val="100"/>
        <c:noMultiLvlLbl val="0"/>
      </c:catAx>
      <c:valAx>
        <c:axId val="465619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74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46440</xdr:rowOff>
    </xdr:from>
    <xdr:to>
      <xdr:col>18</xdr:col>
      <xdr:colOff>581400</xdr:colOff>
      <xdr:row>24</xdr:row>
      <xdr:rowOff>148320</xdr:rowOff>
    </xdr:to>
    <xdr:graphicFrame>
      <xdr:nvGraphicFramePr>
        <xdr:cNvPr id="0" name="Chart 1"/>
        <xdr:cNvGraphicFramePr/>
      </xdr:nvGraphicFramePr>
      <xdr:xfrm>
        <a:off x="6461640" y="6476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70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7.5" hidden="false" customHeight="true" outlineLevel="0" collapsed="false"/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3" t="s">
        <v>6</v>
      </c>
      <c r="F4" s="4" t="s">
        <v>7</v>
      </c>
    </row>
    <row r="5" customFormat="false" ht="24" hidden="false" customHeight="true" outlineLevel="0" collapsed="false">
      <c r="A5" s="7" t="s">
        <v>8</v>
      </c>
      <c r="B5" s="8" t="s">
        <v>9</v>
      </c>
      <c r="C5" s="9" t="s">
        <v>10</v>
      </c>
      <c r="D5" s="10" t="s">
        <v>11</v>
      </c>
      <c r="E5" s="7" t="s">
        <v>12</v>
      </c>
      <c r="F5" s="8" t="s">
        <v>13</v>
      </c>
    </row>
    <row r="6" customFormat="false" ht="6" hidden="false" customHeight="true" outlineLevel="0" collapsed="false">
      <c r="A6" s="11"/>
      <c r="B6" s="12"/>
      <c r="C6" s="13"/>
      <c r="D6" s="14"/>
      <c r="E6" s="11"/>
      <c r="F6" s="12"/>
    </row>
    <row r="8" customFormat="false" ht="21.75" hidden="false" customHeight="true" outlineLevel="0" collapsed="false">
      <c r="A8" s="15" t="s">
        <v>14</v>
      </c>
    </row>
    <row r="9" customFormat="false" ht="39.75" hidden="false" customHeight="true" outlineLevel="0" collapsed="false">
      <c r="A9" s="16" t="s">
        <v>15</v>
      </c>
    </row>
    <row r="11" customFormat="false" ht="21.75" hidden="false" customHeight="true" outlineLevel="0" collapsed="false">
      <c r="A11" s="15" t="s">
        <v>16</v>
      </c>
    </row>
    <row r="12" customFormat="false" ht="15.75" hidden="false" customHeight="true" outlineLevel="0" collapsed="false">
      <c r="A12" s="17" t="s">
        <v>17</v>
      </c>
    </row>
    <row r="13" customFormat="false" ht="15.75" hidden="false" customHeight="true" outlineLevel="0" collapsed="false">
      <c r="A13" s="17" t="s">
        <v>18</v>
      </c>
    </row>
    <row r="14" customFormat="false" ht="15.75" hidden="false" customHeight="true" outlineLevel="0" collapsed="false">
      <c r="A14" s="17" t="s">
        <v>19</v>
      </c>
    </row>
    <row r="15" customFormat="false" ht="15.75" hidden="false" customHeight="true" outlineLevel="0" collapsed="false">
      <c r="A15" s="17" t="s">
        <v>20</v>
      </c>
    </row>
    <row r="16" customFormat="false" ht="15.75" hidden="false" customHeight="true" outlineLevel="0" collapsed="false">
      <c r="A16" s="17" t="s">
        <v>21</v>
      </c>
    </row>
    <row r="17" customFormat="false" ht="15.75" hidden="false" customHeight="true" outlineLevel="0" collapsed="false">
      <c r="A17" s="17" t="s">
        <v>22</v>
      </c>
    </row>
    <row r="19" customFormat="false" ht="21.75" hidden="false" customHeight="true" outlineLevel="0" collapsed="false">
      <c r="A19" s="15" t="s">
        <v>23</v>
      </c>
    </row>
    <row r="20" customFormat="false" ht="21.75" hidden="false" customHeight="true" outlineLevel="0" collapsed="false">
      <c r="A20" s="6" t="s">
        <v>24</v>
      </c>
      <c r="B20" s="18" t="s">
        <v>25</v>
      </c>
    </row>
    <row r="21" customFormat="false" ht="21.75" hidden="false" customHeight="true" outlineLevel="0" collapsed="false">
      <c r="A21" s="6" t="s">
        <v>24</v>
      </c>
      <c r="B21" s="18" t="s">
        <v>26</v>
      </c>
    </row>
    <row r="22" customFormat="false" ht="21.75" hidden="false" customHeight="true" outlineLevel="0" collapsed="false">
      <c r="A22" s="5" t="s">
        <v>27</v>
      </c>
      <c r="B22" s="19" t="s">
        <v>28</v>
      </c>
    </row>
    <row r="23" customFormat="false" ht="21.75" hidden="false" customHeight="true" outlineLevel="0" collapsed="false">
      <c r="A23" s="5" t="s">
        <v>27</v>
      </c>
      <c r="B23" s="19" t="s">
        <v>29</v>
      </c>
    </row>
    <row r="24" customFormat="false" ht="21.75" hidden="false" customHeight="true" outlineLevel="0" collapsed="false">
      <c r="A24" s="4" t="s">
        <v>30</v>
      </c>
      <c r="B24" s="20" t="s">
        <v>31</v>
      </c>
    </row>
    <row r="25" customFormat="false" ht="21.75" hidden="false" customHeight="true" outlineLevel="0" collapsed="false">
      <c r="A25" s="4" t="s">
        <v>30</v>
      </c>
      <c r="B25" s="20" t="s">
        <v>32</v>
      </c>
    </row>
    <row r="26" customFormat="false" ht="21.75" hidden="false" customHeight="true" outlineLevel="0" collapsed="false">
      <c r="A26" s="3" t="s">
        <v>33</v>
      </c>
      <c r="B26" s="21" t="s">
        <v>34</v>
      </c>
    </row>
    <row r="27" customFormat="false" ht="21.75" hidden="false" customHeight="true" outlineLevel="0" collapsed="false">
      <c r="A27" s="3" t="s">
        <v>33</v>
      </c>
      <c r="B27" s="21" t="s">
        <v>35</v>
      </c>
    </row>
    <row r="28" customFormat="false" ht="21.75" hidden="false" customHeight="true" outlineLevel="0" collapsed="false">
      <c r="A28" s="6" t="s">
        <v>36</v>
      </c>
      <c r="B28" s="18" t="s">
        <v>37</v>
      </c>
    </row>
    <row r="30" customFormat="false" ht="21.75" hidden="false" customHeight="true" outlineLevel="0" collapsed="false">
      <c r="A30" s="15" t="s">
        <v>38</v>
      </c>
    </row>
    <row r="31" customFormat="false" ht="21.75" hidden="false" customHeight="true" outlineLevel="0" collapsed="false">
      <c r="A31" s="22" t="s">
        <v>39</v>
      </c>
    </row>
    <row r="32" customFormat="false" ht="21.75" hidden="false" customHeight="true" outlineLevel="0" collapsed="false">
      <c r="A32" s="22" t="s">
        <v>40</v>
      </c>
    </row>
    <row r="33" customFormat="false" ht="21.75" hidden="false" customHeight="true" outlineLevel="0" collapsed="false">
      <c r="A33" s="22" t="s">
        <v>41</v>
      </c>
    </row>
    <row r="34" customFormat="false" ht="21.75" hidden="false" customHeight="true" outlineLevel="0" collapsed="false">
      <c r="A34" s="22" t="s">
        <v>42</v>
      </c>
    </row>
    <row r="35" customFormat="false" ht="21.75" hidden="false" customHeight="true" outlineLevel="0" collapsed="false">
      <c r="A35" s="22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5" min="4" style="0" width="14"/>
  </cols>
  <sheetData>
    <row r="1" customFormat="false" ht="17.35" hidden="false" customHeight="false" outlineLevel="0" collapsed="false">
      <c r="A1" s="23" t="s">
        <v>44</v>
      </c>
    </row>
    <row r="2" customFormat="false" ht="15" hidden="false" customHeight="false" outlineLevel="0" collapsed="false">
      <c r="A2" s="2" t="s">
        <v>45</v>
      </c>
    </row>
    <row r="4" customFormat="false" ht="6" hidden="false" customHeight="true" outlineLevel="0" collapsed="false"/>
    <row r="5" customFormat="false" ht="27.75" hidden="false" customHeight="true" outlineLevel="0" collapsed="false">
      <c r="A5" s="24" t="s">
        <v>46</v>
      </c>
      <c r="B5" s="24" t="s">
        <v>47</v>
      </c>
      <c r="C5" s="24" t="s">
        <v>48</v>
      </c>
      <c r="D5" s="24" t="s">
        <v>49</v>
      </c>
      <c r="E5" s="24" t="s">
        <v>50</v>
      </c>
    </row>
    <row r="6" customFormat="false" ht="15" hidden="false" customHeight="false" outlineLevel="0" collapsed="false">
      <c r="A6" s="25" t="s">
        <v>51</v>
      </c>
      <c r="B6" s="26" t="n">
        <v>1200</v>
      </c>
      <c r="C6" s="26" t="n">
        <v>1200</v>
      </c>
      <c r="D6" s="26" t="n">
        <v>1200</v>
      </c>
      <c r="E6" s="26" t="n">
        <v>1200</v>
      </c>
    </row>
    <row r="7" customFormat="false" ht="15" hidden="false" customHeight="false" outlineLevel="0" collapsed="false">
      <c r="A7" s="27" t="s">
        <v>52</v>
      </c>
      <c r="B7" s="28" t="n">
        <v>1053.97</v>
      </c>
      <c r="C7" s="28" t="n">
        <v>356.41</v>
      </c>
      <c r="D7" s="28" t="n">
        <v>2.95</v>
      </c>
      <c r="E7" s="28" t="n">
        <v>5.48</v>
      </c>
    </row>
    <row r="8" customFormat="false" ht="15" hidden="false" customHeight="false" outlineLevel="0" collapsed="false">
      <c r="A8" s="29" t="s">
        <v>53</v>
      </c>
      <c r="B8" s="30" t="n">
        <v>823.62</v>
      </c>
      <c r="C8" s="30" t="n">
        <v>364.21</v>
      </c>
      <c r="D8" s="30" t="n">
        <v>3</v>
      </c>
      <c r="E8" s="30" t="n">
        <v>5</v>
      </c>
    </row>
    <row r="9" customFormat="false" ht="15" hidden="false" customHeight="false" outlineLevel="0" collapsed="false">
      <c r="A9" s="31" t="s">
        <v>54</v>
      </c>
      <c r="B9" s="32" t="n">
        <v>819.86</v>
      </c>
      <c r="C9" s="32" t="n">
        <v>197.18</v>
      </c>
      <c r="D9" s="32" t="n">
        <v>1.41</v>
      </c>
      <c r="E9" s="32" t="n">
        <v>2.28</v>
      </c>
    </row>
    <row r="10" customFormat="false" ht="15" hidden="false" customHeight="false" outlineLevel="0" collapsed="false">
      <c r="A10" s="25" t="s">
        <v>55</v>
      </c>
      <c r="B10" s="26" t="n">
        <v>11.39</v>
      </c>
      <c r="C10" s="26" t="n">
        <v>11.39</v>
      </c>
      <c r="D10" s="26" t="n">
        <v>1</v>
      </c>
      <c r="E10" s="26" t="n">
        <v>1</v>
      </c>
    </row>
    <row r="11" customFormat="false" ht="15" hidden="false" customHeight="false" outlineLevel="0" collapsed="false">
      <c r="A11" s="31" t="s">
        <v>56</v>
      </c>
      <c r="B11" s="32" t="n">
        <v>410.52</v>
      </c>
      <c r="C11" s="32" t="n">
        <v>186.06</v>
      </c>
      <c r="D11" s="32" t="n">
        <v>2</v>
      </c>
      <c r="E11" s="32" t="n">
        <v>4</v>
      </c>
    </row>
    <row r="12" customFormat="false" ht="15" hidden="false" customHeight="false" outlineLevel="0" collapsed="false">
      <c r="A12" s="25" t="s">
        <v>57</v>
      </c>
      <c r="B12" s="26" t="n">
        <v>1578.48</v>
      </c>
      <c r="C12" s="26" t="n">
        <v>521.57</v>
      </c>
      <c r="D12" s="26" t="n">
        <v>4</v>
      </c>
      <c r="E12" s="26" t="n">
        <v>7</v>
      </c>
    </row>
    <row r="13" customFormat="false" ht="15" hidden="false" customHeight="false" outlineLevel="0" collapsed="false">
      <c r="A13" s="31" t="s">
        <v>58</v>
      </c>
      <c r="B13" s="32" t="n">
        <v>3456.4</v>
      </c>
      <c r="C13" s="32" t="n">
        <v>699.93</v>
      </c>
      <c r="D13" s="32" t="n">
        <v>5</v>
      </c>
      <c r="E13" s="32" t="n">
        <v>10</v>
      </c>
    </row>
    <row r="14" customFormat="false" ht="15" hidden="false" customHeight="false" outlineLevel="0" collapsed="false">
      <c r="A14" s="29" t="s">
        <v>59</v>
      </c>
      <c r="B14" s="30" t="n">
        <v>1167.96</v>
      </c>
      <c r="C14" s="30" t="n">
        <v>335.51</v>
      </c>
      <c r="D14" s="30" t="n">
        <v>2</v>
      </c>
      <c r="E14" s="30" t="n">
        <v>3</v>
      </c>
    </row>
    <row r="15" customFormat="false" ht="15" hidden="false" customHeight="false" outlineLevel="0" collapsed="false">
      <c r="A15" s="27" t="s">
        <v>60</v>
      </c>
      <c r="B15" s="28" t="n">
        <v>0.891</v>
      </c>
      <c r="C15" s="28" t="n">
        <v>-0.027</v>
      </c>
      <c r="D15" s="28" t="n">
        <v>0.028</v>
      </c>
      <c r="E15" s="28" t="n">
        <v>0.001</v>
      </c>
    </row>
    <row r="17" customFormat="false" ht="15" hidden="false" customHeight="false" outlineLevel="0" collapsed="false">
      <c r="A17" s="33" t="s">
        <v>61</v>
      </c>
    </row>
    <row r="18" customFormat="false" ht="19.5" hidden="false" customHeight="true" outlineLevel="0" collapsed="false">
      <c r="A18" s="34" t="s">
        <v>62</v>
      </c>
      <c r="B18" s="34"/>
      <c r="C18" s="34"/>
      <c r="D18" s="34"/>
      <c r="E18" s="34"/>
    </row>
    <row r="19" customFormat="false" ht="19.5" hidden="false" customHeight="true" outlineLevel="0" collapsed="false">
      <c r="A19" s="34"/>
      <c r="B19" s="34"/>
      <c r="C19" s="34"/>
      <c r="D19" s="34"/>
      <c r="E19" s="34"/>
    </row>
    <row r="20" customFormat="false" ht="19.5" hidden="false" customHeight="true" outlineLevel="0" collapsed="false">
      <c r="A20" s="34"/>
      <c r="B20" s="34"/>
      <c r="C20" s="34"/>
      <c r="D20" s="34"/>
      <c r="E20" s="34"/>
    </row>
    <row r="21" customFormat="false" ht="19.5" hidden="false" customHeight="true" outlineLevel="0" collapsed="false">
      <c r="A21" s="34"/>
      <c r="B21" s="34"/>
      <c r="C21" s="34"/>
      <c r="D21" s="34"/>
      <c r="E21" s="34"/>
    </row>
  </sheetData>
  <mergeCells count="1">
    <mergeCell ref="A18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4"/>
    <col collapsed="false" customWidth="true" hidden="false" outlineLevel="0" max="6" min="4" style="0" width="18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23" t="s">
        <v>63</v>
      </c>
    </row>
    <row r="2" customFormat="false" ht="15" hidden="false" customHeight="false" outlineLevel="0" collapsed="false">
      <c r="A2" s="2" t="s">
        <v>64</v>
      </c>
    </row>
    <row r="4" customFormat="false" ht="6" hidden="false" customHeight="true" outlineLevel="0" collapsed="false"/>
    <row r="5" customFormat="false" ht="26.85" hidden="false" customHeight="false" outlineLevel="0" collapsed="false">
      <c r="A5" s="35" t="s">
        <v>65</v>
      </c>
      <c r="B5" s="35" t="s">
        <v>66</v>
      </c>
      <c r="C5" s="35" t="s">
        <v>2</v>
      </c>
      <c r="D5" s="35" t="s">
        <v>67</v>
      </c>
      <c r="E5" s="35" t="s">
        <v>68</v>
      </c>
      <c r="F5" s="35" t="s">
        <v>69</v>
      </c>
      <c r="G5" s="35" t="s">
        <v>70</v>
      </c>
      <c r="H5" s="35" t="s">
        <v>71</v>
      </c>
    </row>
    <row r="6" customFormat="false" ht="18" hidden="false" customHeight="true" outlineLevel="0" collapsed="false">
      <c r="A6" s="36" t="n">
        <v>1</v>
      </c>
      <c r="B6" s="37" t="s">
        <v>72</v>
      </c>
      <c r="C6" s="38" t="n">
        <v>178</v>
      </c>
      <c r="D6" s="38" t="n">
        <v>195620.11</v>
      </c>
      <c r="E6" s="38" t="n">
        <v>1098.99</v>
      </c>
      <c r="F6" s="38" t="n">
        <v>355.66</v>
      </c>
      <c r="G6" s="38" t="n">
        <v>3.16</v>
      </c>
      <c r="H6" s="38" t="n">
        <v>15.5</v>
      </c>
    </row>
    <row r="7" customFormat="false" ht="18" hidden="false" customHeight="true" outlineLevel="0" collapsed="false">
      <c r="A7" s="39" t="n">
        <v>2</v>
      </c>
      <c r="B7" s="40" t="s">
        <v>73</v>
      </c>
      <c r="C7" s="41" t="n">
        <v>181</v>
      </c>
      <c r="D7" s="41" t="n">
        <v>195612.61</v>
      </c>
      <c r="E7" s="41" t="n">
        <v>1080.73</v>
      </c>
      <c r="F7" s="41" t="n">
        <v>351.71</v>
      </c>
      <c r="G7" s="41" t="n">
        <v>2.99</v>
      </c>
      <c r="H7" s="41" t="n">
        <v>15.5</v>
      </c>
    </row>
    <row r="8" customFormat="false" ht="18" hidden="false" customHeight="true" outlineLevel="0" collapsed="false">
      <c r="A8" s="42" t="n">
        <v>3</v>
      </c>
      <c r="B8" s="43" t="s">
        <v>74</v>
      </c>
      <c r="C8" s="44" t="n">
        <v>173</v>
      </c>
      <c r="D8" s="44" t="n">
        <v>192126.56</v>
      </c>
      <c r="E8" s="44" t="n">
        <v>1110.56</v>
      </c>
      <c r="F8" s="44" t="n">
        <v>357.71</v>
      </c>
      <c r="G8" s="44" t="n">
        <v>3.09</v>
      </c>
      <c r="H8" s="44" t="n">
        <v>15.2</v>
      </c>
    </row>
    <row r="9" customFormat="false" ht="18" hidden="false" customHeight="true" outlineLevel="0" collapsed="false">
      <c r="A9" s="45" t="n">
        <v>4</v>
      </c>
      <c r="B9" s="46" t="s">
        <v>75</v>
      </c>
      <c r="C9" s="47" t="n">
        <v>179</v>
      </c>
      <c r="D9" s="47" t="n">
        <v>186568.95</v>
      </c>
      <c r="E9" s="47" t="n">
        <v>1042.28</v>
      </c>
      <c r="F9" s="47" t="n">
        <v>367.68</v>
      </c>
      <c r="G9" s="47" t="n">
        <v>2.78</v>
      </c>
      <c r="H9" s="47" t="n">
        <v>14.8</v>
      </c>
    </row>
    <row r="10" customFormat="false" ht="18" hidden="false" customHeight="true" outlineLevel="0" collapsed="false">
      <c r="A10" s="48" t="n">
        <v>5</v>
      </c>
      <c r="B10" s="25" t="s">
        <v>76</v>
      </c>
      <c r="C10" s="26" t="n">
        <v>163</v>
      </c>
      <c r="D10" s="26" t="n">
        <v>175651.41</v>
      </c>
      <c r="E10" s="26" t="n">
        <v>1077.62</v>
      </c>
      <c r="F10" s="26" t="n">
        <v>358.66</v>
      </c>
      <c r="G10" s="26" t="n">
        <v>2.94</v>
      </c>
      <c r="H10" s="26" t="n">
        <v>13.9</v>
      </c>
    </row>
    <row r="11" customFormat="false" ht="18" hidden="false" customHeight="true" outlineLevel="0" collapsed="false">
      <c r="A11" s="49" t="n">
        <v>6</v>
      </c>
      <c r="B11" s="31" t="s">
        <v>77</v>
      </c>
      <c r="C11" s="32" t="n">
        <v>170</v>
      </c>
      <c r="D11" s="32" t="n">
        <v>167459.93</v>
      </c>
      <c r="E11" s="32" t="n">
        <v>985.06</v>
      </c>
      <c r="F11" s="32" t="n">
        <v>329.61</v>
      </c>
      <c r="G11" s="32" t="n">
        <v>2.99</v>
      </c>
      <c r="H11" s="32" t="n">
        <v>13.2</v>
      </c>
    </row>
    <row r="12" customFormat="false" ht="18" hidden="false" customHeight="true" outlineLevel="0" collapsed="false">
      <c r="A12" s="36" t="n">
        <v>7</v>
      </c>
      <c r="B12" s="37" t="s">
        <v>78</v>
      </c>
      <c r="C12" s="38" t="n">
        <v>156</v>
      </c>
      <c r="D12" s="38" t="n">
        <v>151722.39</v>
      </c>
      <c r="E12" s="38" t="n">
        <v>972.58</v>
      </c>
      <c r="F12" s="38" t="n">
        <v>375.22</v>
      </c>
      <c r="G12" s="38" t="n">
        <v>2.63</v>
      </c>
      <c r="H12" s="38" t="n">
        <v>12</v>
      </c>
    </row>
    <row r="15" customFormat="false" ht="15" hidden="false" customHeight="false" outlineLevel="0" collapsed="false">
      <c r="A15" s="33" t="s">
        <v>79</v>
      </c>
    </row>
    <row r="16" customFormat="false" ht="26.85" hidden="false" customHeight="false" outlineLevel="0" collapsed="false">
      <c r="A16" s="24" t="s">
        <v>66</v>
      </c>
      <c r="B16" s="24" t="s">
        <v>80</v>
      </c>
      <c r="C16" s="24" t="s">
        <v>81</v>
      </c>
      <c r="D16" s="24" t="s">
        <v>82</v>
      </c>
      <c r="E16" s="24" t="s">
        <v>83</v>
      </c>
      <c r="F16" s="24" t="s">
        <v>84</v>
      </c>
      <c r="G16" s="50" t="s">
        <v>85</v>
      </c>
    </row>
    <row r="17" customFormat="false" ht="15" hidden="false" customHeight="false" outlineLevel="0" collapsed="false">
      <c r="A17" s="51" t="s">
        <v>72</v>
      </c>
      <c r="B17" s="26" t="n">
        <v>45</v>
      </c>
      <c r="C17" s="26" t="n">
        <v>33</v>
      </c>
      <c r="D17" s="26" t="n">
        <v>41</v>
      </c>
      <c r="E17" s="26" t="n">
        <v>28</v>
      </c>
      <c r="F17" s="26" t="n">
        <v>31</v>
      </c>
      <c r="G17" s="30" t="n">
        <v>178</v>
      </c>
    </row>
    <row r="18" customFormat="false" ht="15" hidden="false" customHeight="false" outlineLevel="0" collapsed="false">
      <c r="A18" s="52" t="s">
        <v>77</v>
      </c>
      <c r="B18" s="32" t="n">
        <v>35</v>
      </c>
      <c r="C18" s="32" t="n">
        <v>32</v>
      </c>
      <c r="D18" s="32" t="n">
        <v>38</v>
      </c>
      <c r="E18" s="32" t="n">
        <v>32</v>
      </c>
      <c r="F18" s="32" t="n">
        <v>33</v>
      </c>
      <c r="G18" s="28" t="n">
        <v>170</v>
      </c>
    </row>
    <row r="19" customFormat="false" ht="15" hidden="false" customHeight="false" outlineLevel="0" collapsed="false">
      <c r="A19" s="51" t="s">
        <v>74</v>
      </c>
      <c r="B19" s="26" t="n">
        <v>35</v>
      </c>
      <c r="C19" s="26" t="n">
        <v>40</v>
      </c>
      <c r="D19" s="26" t="n">
        <v>30</v>
      </c>
      <c r="E19" s="26" t="n">
        <v>39</v>
      </c>
      <c r="F19" s="26" t="n">
        <v>29</v>
      </c>
      <c r="G19" s="30" t="n">
        <v>173</v>
      </c>
    </row>
    <row r="20" customFormat="false" ht="15" hidden="false" customHeight="false" outlineLevel="0" collapsed="false">
      <c r="A20" s="52" t="s">
        <v>76</v>
      </c>
      <c r="B20" s="32" t="n">
        <v>35</v>
      </c>
      <c r="C20" s="32" t="n">
        <v>31</v>
      </c>
      <c r="D20" s="32" t="n">
        <v>29</v>
      </c>
      <c r="E20" s="32" t="n">
        <v>36</v>
      </c>
      <c r="F20" s="32" t="n">
        <v>32</v>
      </c>
      <c r="G20" s="28" t="n">
        <v>163</v>
      </c>
    </row>
    <row r="21" customFormat="false" ht="15" hidden="false" customHeight="false" outlineLevel="0" collapsed="false">
      <c r="A21" s="51" t="s">
        <v>78</v>
      </c>
      <c r="B21" s="26" t="n">
        <v>31</v>
      </c>
      <c r="C21" s="26" t="n">
        <v>38</v>
      </c>
      <c r="D21" s="26" t="n">
        <v>28</v>
      </c>
      <c r="E21" s="26" t="n">
        <v>31</v>
      </c>
      <c r="F21" s="26" t="n">
        <v>28</v>
      </c>
      <c r="G21" s="30" t="n">
        <v>156</v>
      </c>
    </row>
    <row r="22" customFormat="false" ht="15" hidden="false" customHeight="false" outlineLevel="0" collapsed="false">
      <c r="A22" s="52" t="s">
        <v>73</v>
      </c>
      <c r="B22" s="32" t="n">
        <v>35</v>
      </c>
      <c r="C22" s="32" t="n">
        <v>29</v>
      </c>
      <c r="D22" s="32" t="n">
        <v>37</v>
      </c>
      <c r="E22" s="32" t="n">
        <v>38</v>
      </c>
      <c r="F22" s="32" t="n">
        <v>42</v>
      </c>
      <c r="G22" s="28" t="n">
        <v>181</v>
      </c>
    </row>
    <row r="23" customFormat="false" ht="15" hidden="false" customHeight="false" outlineLevel="0" collapsed="false">
      <c r="A23" s="51" t="s">
        <v>75</v>
      </c>
      <c r="B23" s="26" t="n">
        <v>34</v>
      </c>
      <c r="C23" s="26" t="n">
        <v>28</v>
      </c>
      <c r="D23" s="26" t="n">
        <v>34</v>
      </c>
      <c r="E23" s="26" t="n">
        <v>43</v>
      </c>
      <c r="F23" s="26" t="n">
        <v>40</v>
      </c>
      <c r="G23" s="30" t="n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5" min="4" style="0" width="22"/>
  </cols>
  <sheetData>
    <row r="1" customFormat="false" ht="17.35" hidden="false" customHeight="false" outlineLevel="0" collapsed="false">
      <c r="A1" s="23" t="s">
        <v>86</v>
      </c>
    </row>
    <row r="2" customFormat="false" ht="15" hidden="false" customHeight="false" outlineLevel="0" collapsed="false">
      <c r="A2" s="2" t="s">
        <v>87</v>
      </c>
    </row>
    <row r="4" customFormat="false" ht="6" hidden="false" customHeight="true" outlineLevel="0" collapsed="false"/>
    <row r="5" customFormat="false" ht="26.85" hidden="false" customHeight="false" outlineLevel="0" collapsed="false">
      <c r="A5" s="24" t="s">
        <v>88</v>
      </c>
      <c r="B5" s="24" t="s">
        <v>89</v>
      </c>
      <c r="C5" s="24" t="s">
        <v>90</v>
      </c>
      <c r="D5" s="24" t="s">
        <v>91</v>
      </c>
      <c r="E5" s="24" t="s">
        <v>92</v>
      </c>
    </row>
    <row r="6" customFormat="false" ht="15.75" hidden="false" customHeight="true" outlineLevel="0" collapsed="false">
      <c r="A6" s="47" t="n">
        <v>1</v>
      </c>
      <c r="B6" s="47" t="s">
        <v>93</v>
      </c>
      <c r="C6" s="47" t="n">
        <v>56685.75</v>
      </c>
      <c r="D6" s="47"/>
      <c r="E6" s="47"/>
    </row>
    <row r="7" customFormat="false" ht="15.75" hidden="false" customHeight="true" outlineLevel="0" collapsed="false">
      <c r="A7" s="32" t="n">
        <v>2</v>
      </c>
      <c r="B7" s="32" t="s">
        <v>94</v>
      </c>
      <c r="C7" s="32" t="n">
        <v>40117.66</v>
      </c>
      <c r="D7" s="53" t="n">
        <v>-16568.09</v>
      </c>
      <c r="E7" s="53" t="n">
        <v>-29.2</v>
      </c>
    </row>
    <row r="8" customFormat="false" ht="15.75" hidden="false" customHeight="true" outlineLevel="0" collapsed="false">
      <c r="A8" s="47" t="n">
        <v>3</v>
      </c>
      <c r="B8" s="47" t="s">
        <v>95</v>
      </c>
      <c r="C8" s="47" t="n">
        <v>48609.37</v>
      </c>
      <c r="D8" s="54" t="n">
        <v>8491.71</v>
      </c>
      <c r="E8" s="54" t="n">
        <v>21.2</v>
      </c>
    </row>
    <row r="9" customFormat="false" ht="15.75" hidden="false" customHeight="true" outlineLevel="0" collapsed="false">
      <c r="A9" s="32" t="n">
        <v>4</v>
      </c>
      <c r="B9" s="32" t="s">
        <v>96</v>
      </c>
      <c r="C9" s="32" t="n">
        <v>27751.71</v>
      </c>
      <c r="D9" s="53" t="n">
        <v>-20857.66</v>
      </c>
      <c r="E9" s="53" t="n">
        <v>-42.9</v>
      </c>
    </row>
    <row r="10" customFormat="false" ht="15.75" hidden="false" customHeight="true" outlineLevel="0" collapsed="false">
      <c r="A10" s="47" t="n">
        <v>5</v>
      </c>
      <c r="B10" s="47" t="s">
        <v>97</v>
      </c>
      <c r="C10" s="47" t="n">
        <v>63836.84</v>
      </c>
      <c r="D10" s="54" t="n">
        <v>36085.13</v>
      </c>
      <c r="E10" s="54" t="n">
        <v>130</v>
      </c>
    </row>
    <row r="11" customFormat="false" ht="15.75" hidden="false" customHeight="true" outlineLevel="0" collapsed="false">
      <c r="A11" s="32" t="n">
        <v>6</v>
      </c>
      <c r="B11" s="32" t="s">
        <v>98</v>
      </c>
      <c r="C11" s="32" t="n">
        <v>49500.19</v>
      </c>
      <c r="D11" s="53" t="n">
        <v>-14336.65</v>
      </c>
      <c r="E11" s="53" t="n">
        <v>-22.5</v>
      </c>
    </row>
    <row r="12" customFormat="false" ht="15.75" hidden="false" customHeight="true" outlineLevel="0" collapsed="false">
      <c r="A12" s="47" t="n">
        <v>7</v>
      </c>
      <c r="B12" s="47" t="s">
        <v>99</v>
      </c>
      <c r="C12" s="47" t="n">
        <v>42820.66</v>
      </c>
      <c r="D12" s="55" t="n">
        <v>-6679.53</v>
      </c>
      <c r="E12" s="55" t="n">
        <v>-13.5</v>
      </c>
    </row>
    <row r="13" customFormat="false" ht="15.75" hidden="false" customHeight="true" outlineLevel="0" collapsed="false">
      <c r="A13" s="32" t="n">
        <v>8</v>
      </c>
      <c r="B13" s="32" t="s">
        <v>100</v>
      </c>
      <c r="C13" s="32" t="n">
        <v>54352.14</v>
      </c>
      <c r="D13" s="56" t="n">
        <v>11531.48</v>
      </c>
      <c r="E13" s="56" t="n">
        <v>26.9</v>
      </c>
    </row>
    <row r="14" customFormat="false" ht="15.75" hidden="false" customHeight="true" outlineLevel="0" collapsed="false">
      <c r="A14" s="47" t="n">
        <v>9</v>
      </c>
      <c r="B14" s="47" t="s">
        <v>101</v>
      </c>
      <c r="C14" s="47" t="n">
        <v>29526.67</v>
      </c>
      <c r="D14" s="55" t="n">
        <v>-24825.47</v>
      </c>
      <c r="E14" s="55" t="n">
        <v>-45.7</v>
      </c>
    </row>
    <row r="15" customFormat="false" ht="15.75" hidden="false" customHeight="true" outlineLevel="0" collapsed="false">
      <c r="A15" s="32" t="n">
        <v>10</v>
      </c>
      <c r="B15" s="32" t="s">
        <v>102</v>
      </c>
      <c r="C15" s="32" t="n">
        <v>52607.85</v>
      </c>
      <c r="D15" s="56" t="n">
        <v>23081.18</v>
      </c>
      <c r="E15" s="56" t="n">
        <v>78.2</v>
      </c>
    </row>
    <row r="16" customFormat="false" ht="15.75" hidden="false" customHeight="true" outlineLevel="0" collapsed="false">
      <c r="A16" s="47" t="n">
        <v>11</v>
      </c>
      <c r="B16" s="47" t="s">
        <v>103</v>
      </c>
      <c r="C16" s="47" t="n">
        <v>43079.67</v>
      </c>
      <c r="D16" s="55" t="n">
        <v>-9528.18</v>
      </c>
      <c r="E16" s="55" t="n">
        <v>-18.1</v>
      </c>
    </row>
    <row r="17" customFormat="false" ht="15.75" hidden="false" customHeight="true" outlineLevel="0" collapsed="false">
      <c r="A17" s="32" t="n">
        <v>12</v>
      </c>
      <c r="B17" s="32" t="s">
        <v>104</v>
      </c>
      <c r="C17" s="32" t="n">
        <v>43754.73</v>
      </c>
      <c r="D17" s="56" t="n">
        <v>675.06</v>
      </c>
      <c r="E17" s="56" t="n">
        <v>1.6</v>
      </c>
    </row>
    <row r="18" customFormat="false" ht="15.75" hidden="false" customHeight="true" outlineLevel="0" collapsed="false">
      <c r="A18" s="47" t="n">
        <v>13</v>
      </c>
      <c r="B18" s="47" t="s">
        <v>105</v>
      </c>
      <c r="C18" s="47" t="n">
        <v>38528.08</v>
      </c>
      <c r="D18" s="55" t="n">
        <v>-5226.65</v>
      </c>
      <c r="E18" s="55" t="n">
        <v>-11.9</v>
      </c>
    </row>
    <row r="19" customFormat="false" ht="15.75" hidden="false" customHeight="true" outlineLevel="0" collapsed="false">
      <c r="A19" s="32" t="n">
        <v>14</v>
      </c>
      <c r="B19" s="32" t="s">
        <v>106</v>
      </c>
      <c r="C19" s="32" t="n">
        <v>36909.57</v>
      </c>
      <c r="D19" s="53" t="n">
        <v>-1618.51</v>
      </c>
      <c r="E19" s="53" t="n">
        <v>-4.2</v>
      </c>
    </row>
    <row r="20" customFormat="false" ht="15.75" hidden="false" customHeight="true" outlineLevel="0" collapsed="false">
      <c r="A20" s="47" t="n">
        <v>15</v>
      </c>
      <c r="B20" s="47" t="s">
        <v>107</v>
      </c>
      <c r="C20" s="47" t="n">
        <v>36030.9</v>
      </c>
      <c r="D20" s="55" t="n">
        <v>-878.67</v>
      </c>
      <c r="E20" s="55" t="n">
        <v>-2.4</v>
      </c>
    </row>
    <row r="21" customFormat="false" ht="15.75" hidden="false" customHeight="true" outlineLevel="0" collapsed="false">
      <c r="A21" s="32" t="n">
        <v>16</v>
      </c>
      <c r="B21" s="32" t="s">
        <v>108</v>
      </c>
      <c r="C21" s="32" t="n">
        <v>49613.14</v>
      </c>
      <c r="D21" s="56" t="n">
        <v>13582.24</v>
      </c>
      <c r="E21" s="56" t="n">
        <v>37.7</v>
      </c>
    </row>
    <row r="22" customFormat="false" ht="15.75" hidden="false" customHeight="true" outlineLevel="0" collapsed="false">
      <c r="A22" s="47" t="n">
        <v>17</v>
      </c>
      <c r="B22" s="47" t="s">
        <v>109</v>
      </c>
      <c r="C22" s="47" t="n">
        <v>27909.11</v>
      </c>
      <c r="D22" s="55" t="n">
        <v>-21704.03</v>
      </c>
      <c r="E22" s="55" t="n">
        <v>-43.7</v>
      </c>
    </row>
    <row r="23" customFormat="false" ht="15.75" hidden="false" customHeight="true" outlineLevel="0" collapsed="false">
      <c r="A23" s="32" t="n">
        <v>18</v>
      </c>
      <c r="B23" s="32" t="s">
        <v>110</v>
      </c>
      <c r="C23" s="28" t="n">
        <v>68068.54</v>
      </c>
      <c r="D23" s="56" t="n">
        <v>40159.43</v>
      </c>
      <c r="E23" s="56" t="n">
        <v>143.9</v>
      </c>
    </row>
    <row r="24" customFormat="false" ht="15.75" hidden="false" customHeight="true" outlineLevel="0" collapsed="false">
      <c r="A24" s="47" t="n">
        <v>19</v>
      </c>
      <c r="B24" s="47" t="s">
        <v>111</v>
      </c>
      <c r="C24" s="47" t="n">
        <v>42963.98</v>
      </c>
      <c r="D24" s="55" t="n">
        <v>-25104.56</v>
      </c>
      <c r="E24" s="55" t="n">
        <v>-36.9</v>
      </c>
    </row>
    <row r="25" customFormat="false" ht="15.75" hidden="false" customHeight="true" outlineLevel="0" collapsed="false">
      <c r="A25" s="32" t="n">
        <v>20</v>
      </c>
      <c r="B25" s="32" t="s">
        <v>112</v>
      </c>
      <c r="C25" s="32" t="n">
        <v>31991.07</v>
      </c>
      <c r="D25" s="53" t="n">
        <v>-10972.91</v>
      </c>
      <c r="E25" s="53" t="n">
        <v>-25.5</v>
      </c>
    </row>
    <row r="26" customFormat="false" ht="15.75" hidden="false" customHeight="true" outlineLevel="0" collapsed="false">
      <c r="A26" s="47" t="n">
        <v>21</v>
      </c>
      <c r="B26" s="47" t="s">
        <v>113</v>
      </c>
      <c r="C26" s="47" t="n">
        <v>39794.98</v>
      </c>
      <c r="D26" s="54" t="n">
        <v>7803.91</v>
      </c>
      <c r="E26" s="54" t="n">
        <v>24.4</v>
      </c>
    </row>
    <row r="27" customFormat="false" ht="15.75" hidden="false" customHeight="true" outlineLevel="0" collapsed="false">
      <c r="A27" s="32" t="n">
        <v>22</v>
      </c>
      <c r="B27" s="32" t="s">
        <v>114</v>
      </c>
      <c r="C27" s="32" t="n">
        <v>37226.97</v>
      </c>
      <c r="D27" s="53" t="n">
        <v>-2568.01</v>
      </c>
      <c r="E27" s="53" t="n">
        <v>-6.5</v>
      </c>
    </row>
    <row r="28" customFormat="false" ht="15.75" hidden="false" customHeight="true" outlineLevel="0" collapsed="false">
      <c r="A28" s="47" t="n">
        <v>23</v>
      </c>
      <c r="B28" s="47" t="s">
        <v>115</v>
      </c>
      <c r="C28" s="47" t="n">
        <v>32413.76</v>
      </c>
      <c r="D28" s="55" t="n">
        <v>-4813.21</v>
      </c>
      <c r="E28" s="55" t="n">
        <v>-12.9</v>
      </c>
    </row>
    <row r="29" customFormat="false" ht="15.75" hidden="false" customHeight="true" outlineLevel="0" collapsed="false">
      <c r="A29" s="32" t="n">
        <v>24</v>
      </c>
      <c r="B29" s="32" t="s">
        <v>116</v>
      </c>
      <c r="C29" s="32" t="n">
        <v>38785.77</v>
      </c>
      <c r="D29" s="56" t="n">
        <v>6372.01</v>
      </c>
      <c r="E29" s="56" t="n">
        <v>19.7</v>
      </c>
    </row>
    <row r="30" customFormat="false" ht="15.75" hidden="false" customHeight="true" outlineLevel="0" collapsed="false">
      <c r="A30" s="47" t="n">
        <v>25</v>
      </c>
      <c r="B30" s="47" t="s">
        <v>117</v>
      </c>
      <c r="C30" s="47" t="n">
        <v>29099.4</v>
      </c>
      <c r="D30" s="55" t="n">
        <v>-9686.37</v>
      </c>
      <c r="E30" s="55" t="n">
        <v>-25</v>
      </c>
    </row>
    <row r="31" customFormat="false" ht="15.75" hidden="false" customHeight="true" outlineLevel="0" collapsed="false">
      <c r="A31" s="32" t="n">
        <v>26</v>
      </c>
      <c r="B31" s="32" t="s">
        <v>118</v>
      </c>
      <c r="C31" s="32" t="n">
        <v>35317.55</v>
      </c>
      <c r="D31" s="56" t="n">
        <v>6218.15</v>
      </c>
      <c r="E31" s="56" t="n">
        <v>21.4</v>
      </c>
    </row>
    <row r="32" customFormat="false" ht="15.75" hidden="false" customHeight="true" outlineLevel="0" collapsed="false">
      <c r="A32" s="47" t="n">
        <v>27</v>
      </c>
      <c r="B32" s="47" t="s">
        <v>119</v>
      </c>
      <c r="C32" s="47" t="n">
        <v>39200.66</v>
      </c>
      <c r="D32" s="54" t="n">
        <v>3883.11</v>
      </c>
      <c r="E32" s="54" t="n">
        <v>11</v>
      </c>
    </row>
    <row r="33" customFormat="false" ht="15.75" hidden="false" customHeight="true" outlineLevel="0" collapsed="false">
      <c r="A33" s="32" t="n">
        <v>28</v>
      </c>
      <c r="B33" s="32" t="s">
        <v>120</v>
      </c>
      <c r="C33" s="32" t="n">
        <v>31821.2</v>
      </c>
      <c r="D33" s="53" t="n">
        <v>-7379.46</v>
      </c>
      <c r="E33" s="53" t="n">
        <v>-18.8</v>
      </c>
    </row>
    <row r="34" customFormat="false" ht="15.75" hidden="false" customHeight="true" outlineLevel="0" collapsed="false">
      <c r="A34" s="47" t="n">
        <v>29</v>
      </c>
      <c r="B34" s="47" t="s">
        <v>121</v>
      </c>
      <c r="C34" s="47" t="n">
        <v>43396.64</v>
      </c>
      <c r="D34" s="54" t="n">
        <v>11575.44</v>
      </c>
      <c r="E34" s="54" t="n">
        <v>36.4</v>
      </c>
    </row>
    <row r="35" customFormat="false" ht="15.75" hidden="false" customHeight="true" outlineLevel="0" collapsed="false">
      <c r="A35" s="32" t="n">
        <v>30</v>
      </c>
      <c r="B35" s="32" t="s">
        <v>122</v>
      </c>
      <c r="C35" s="32" t="n">
        <v>53047.4</v>
      </c>
      <c r="D35" s="56" t="n">
        <v>9650.76</v>
      </c>
      <c r="E35" s="56" t="n">
        <v>22.2</v>
      </c>
    </row>
    <row r="37" customFormat="false" ht="15" hidden="false" customHeight="false" outlineLevel="0" collapsed="false">
      <c r="A37" s="33" t="s">
        <v>123</v>
      </c>
    </row>
    <row r="38" customFormat="false" ht="26.85" hidden="false" customHeight="false" outlineLevel="0" collapsed="false">
      <c r="A38" s="50" t="s">
        <v>124</v>
      </c>
      <c r="B38" s="50" t="s">
        <v>125</v>
      </c>
      <c r="C38" s="50" t="s">
        <v>67</v>
      </c>
      <c r="D38" s="50" t="s">
        <v>68</v>
      </c>
    </row>
    <row r="39" customFormat="false" ht="15" hidden="false" customHeight="false" outlineLevel="0" collapsed="false">
      <c r="A39" s="41" t="n">
        <v>2023</v>
      </c>
      <c r="B39" s="41" t="n">
        <v>510</v>
      </c>
      <c r="C39" s="41" t="n">
        <v>552643.24</v>
      </c>
      <c r="D39" s="41" t="n">
        <v>1083.61</v>
      </c>
    </row>
    <row r="40" customFormat="false" ht="15" hidden="false" customHeight="false" outlineLevel="0" collapsed="false">
      <c r="A40" s="32" t="n">
        <v>2024</v>
      </c>
      <c r="B40" s="32" t="n">
        <v>459</v>
      </c>
      <c r="C40" s="32" t="n">
        <v>480235.87</v>
      </c>
      <c r="D40" s="32" t="n">
        <v>1046.27</v>
      </c>
    </row>
    <row r="41" customFormat="false" ht="15" hidden="false" customHeight="false" outlineLevel="0" collapsed="false">
      <c r="A41" s="41" t="n">
        <v>2025</v>
      </c>
      <c r="B41" s="41" t="n">
        <v>231</v>
      </c>
      <c r="C41" s="41" t="n">
        <v>231882.85</v>
      </c>
      <c r="D41" s="41" t="n">
        <v>1003.82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4" min="3" style="0" width="18"/>
    <col collapsed="false" customWidth="true" hidden="false" outlineLevel="0" max="6" min="5" style="0" width="5"/>
  </cols>
  <sheetData>
    <row r="1" customFormat="false" ht="17.35" hidden="false" customHeight="false" outlineLevel="0" collapsed="false">
      <c r="A1" s="23" t="s">
        <v>126</v>
      </c>
    </row>
    <row r="2" customFormat="false" ht="15" hidden="false" customHeight="false" outlineLevel="0" collapsed="false">
      <c r="A2" s="2" t="s">
        <v>127</v>
      </c>
    </row>
    <row r="4" customFormat="false" ht="6" hidden="false" customHeight="true" outlineLevel="0" collapsed="false"/>
    <row r="5" customFormat="false" ht="15" hidden="false" customHeight="false" outlineLevel="0" collapsed="false">
      <c r="A5" s="33" t="s">
        <v>128</v>
      </c>
    </row>
    <row r="6" customFormat="false" ht="26.85" hidden="false" customHeight="false" outlineLevel="0" collapsed="false">
      <c r="A6" s="24" t="s">
        <v>129</v>
      </c>
      <c r="B6" s="24" t="s">
        <v>125</v>
      </c>
      <c r="C6" s="24" t="s">
        <v>67</v>
      </c>
      <c r="D6" s="24" t="s">
        <v>68</v>
      </c>
    </row>
    <row r="7" customFormat="false" ht="18" hidden="false" customHeight="true" outlineLevel="0" collapsed="false">
      <c r="A7" s="25" t="s">
        <v>130</v>
      </c>
      <c r="B7" s="26" t="n">
        <v>234</v>
      </c>
      <c r="C7" s="26" t="n">
        <v>263847.63</v>
      </c>
      <c r="D7" s="26" t="n">
        <v>1127.55</v>
      </c>
    </row>
    <row r="8" customFormat="false" ht="18" hidden="false" customHeight="true" outlineLevel="0" collapsed="false">
      <c r="A8" s="31" t="s">
        <v>131</v>
      </c>
      <c r="B8" s="32" t="n">
        <v>258</v>
      </c>
      <c r="C8" s="32" t="n">
        <v>262442.94</v>
      </c>
      <c r="D8" s="32" t="n">
        <v>1017.22</v>
      </c>
    </row>
    <row r="9" customFormat="false" ht="18" hidden="false" customHeight="true" outlineLevel="0" collapsed="false">
      <c r="A9" s="25" t="s">
        <v>132</v>
      </c>
      <c r="B9" s="26" t="n">
        <v>246</v>
      </c>
      <c r="C9" s="26" t="n">
        <v>259786.29</v>
      </c>
      <c r="D9" s="26" t="n">
        <v>1056.04</v>
      </c>
    </row>
    <row r="10" customFormat="false" ht="18" hidden="false" customHeight="true" outlineLevel="0" collapsed="false">
      <c r="A10" s="31" t="s">
        <v>133</v>
      </c>
      <c r="B10" s="32" t="n">
        <v>230</v>
      </c>
      <c r="C10" s="32" t="n">
        <v>246323.92</v>
      </c>
      <c r="D10" s="32" t="n">
        <v>1070.97</v>
      </c>
    </row>
    <row r="11" customFormat="false" ht="18" hidden="false" customHeight="true" outlineLevel="0" collapsed="false">
      <c r="A11" s="25" t="s">
        <v>134</v>
      </c>
      <c r="B11" s="26" t="n">
        <v>232</v>
      </c>
      <c r="C11" s="26" t="n">
        <v>232361.18</v>
      </c>
      <c r="D11" s="26" t="n">
        <v>1001.56</v>
      </c>
    </row>
    <row r="14" customFormat="false" ht="15" hidden="false" customHeight="false" outlineLevel="0" collapsed="false">
      <c r="A14" s="33" t="s">
        <v>135</v>
      </c>
    </row>
    <row r="15" customFormat="false" ht="26.85" hidden="false" customHeight="false" outlineLevel="0" collapsed="false">
      <c r="A15" s="35" t="s">
        <v>136</v>
      </c>
      <c r="B15" s="35" t="s">
        <v>125</v>
      </c>
      <c r="C15" s="35" t="s">
        <v>67</v>
      </c>
      <c r="D15" s="35" t="s">
        <v>68</v>
      </c>
    </row>
    <row r="16" customFormat="false" ht="18" hidden="false" customHeight="true" outlineLevel="0" collapsed="false">
      <c r="A16" s="25" t="s">
        <v>137</v>
      </c>
      <c r="B16" s="26" t="n">
        <v>259</v>
      </c>
      <c r="C16" s="26" t="n">
        <v>275285.45</v>
      </c>
      <c r="D16" s="26" t="n">
        <v>1062.88</v>
      </c>
    </row>
    <row r="17" customFormat="false" ht="18" hidden="false" customHeight="true" outlineLevel="0" collapsed="false">
      <c r="A17" s="31" t="s">
        <v>138</v>
      </c>
      <c r="B17" s="32" t="n">
        <v>250</v>
      </c>
      <c r="C17" s="32" t="n">
        <v>261808.55</v>
      </c>
      <c r="D17" s="32" t="n">
        <v>1047.23</v>
      </c>
    </row>
    <row r="18" customFormat="false" ht="18" hidden="false" customHeight="true" outlineLevel="0" collapsed="false">
      <c r="A18" s="25" t="s">
        <v>139</v>
      </c>
      <c r="B18" s="26" t="n">
        <v>241</v>
      </c>
      <c r="C18" s="26" t="n">
        <v>250441.48</v>
      </c>
      <c r="D18" s="26" t="n">
        <v>1039.18</v>
      </c>
    </row>
    <row r="19" customFormat="false" ht="18" hidden="false" customHeight="true" outlineLevel="0" collapsed="false">
      <c r="A19" s="31" t="s">
        <v>140</v>
      </c>
      <c r="B19" s="32" t="n">
        <v>228</v>
      </c>
      <c r="C19" s="32" t="n">
        <v>250410.9</v>
      </c>
      <c r="D19" s="32" t="n">
        <v>1098.29</v>
      </c>
    </row>
    <row r="20" customFormat="false" ht="18" hidden="false" customHeight="true" outlineLevel="0" collapsed="false">
      <c r="A20" s="25" t="s">
        <v>141</v>
      </c>
      <c r="B20" s="26" t="n">
        <v>222</v>
      </c>
      <c r="C20" s="26" t="n">
        <v>226815.58</v>
      </c>
      <c r="D20" s="26" t="n">
        <v>1021.69</v>
      </c>
    </row>
    <row r="23" customFormat="false" ht="15" hidden="false" customHeight="false" outlineLevel="0" collapsed="false">
      <c r="A23" s="33" t="s">
        <v>142</v>
      </c>
    </row>
    <row r="24" customFormat="false" ht="26.85" hidden="false" customHeight="false" outlineLevel="0" collapsed="false">
      <c r="A24" s="57" t="s">
        <v>143</v>
      </c>
      <c r="B24" s="57" t="s">
        <v>125</v>
      </c>
      <c r="C24" s="57" t="s">
        <v>67</v>
      </c>
      <c r="D24" s="57" t="s">
        <v>68</v>
      </c>
    </row>
    <row r="25" customFormat="false" ht="18" hidden="false" customHeight="true" outlineLevel="0" collapsed="false">
      <c r="A25" s="25" t="s">
        <v>144</v>
      </c>
      <c r="B25" s="26" t="n">
        <v>313</v>
      </c>
      <c r="C25" s="26" t="n">
        <v>335036.99</v>
      </c>
      <c r="D25" s="26" t="n">
        <v>1070.41</v>
      </c>
    </row>
    <row r="26" customFormat="false" ht="18" hidden="false" customHeight="true" outlineLevel="0" collapsed="false">
      <c r="A26" s="31" t="s">
        <v>145</v>
      </c>
      <c r="B26" s="32" t="n">
        <v>309</v>
      </c>
      <c r="C26" s="32" t="n">
        <v>322401.41</v>
      </c>
      <c r="D26" s="32" t="n">
        <v>1043.37</v>
      </c>
    </row>
    <row r="27" customFormat="false" ht="18" hidden="false" customHeight="true" outlineLevel="0" collapsed="false">
      <c r="A27" s="25" t="s">
        <v>146</v>
      </c>
      <c r="B27" s="26" t="n">
        <v>286</v>
      </c>
      <c r="C27" s="26" t="n">
        <v>304840.02</v>
      </c>
      <c r="D27" s="26" t="n">
        <v>1065.87</v>
      </c>
    </row>
    <row r="28" customFormat="false" ht="18" hidden="false" customHeight="true" outlineLevel="0" collapsed="false">
      <c r="A28" s="31" t="s">
        <v>147</v>
      </c>
      <c r="B28" s="32" t="n">
        <v>292</v>
      </c>
      <c r="C28" s="32" t="n">
        <v>302483.54</v>
      </c>
      <c r="D28" s="32" t="n">
        <v>1035.9</v>
      </c>
    </row>
    <row r="32" customFormat="false" ht="15" hidden="false" customHeight="false" outlineLevel="0" collapsed="false">
      <c r="A32" s="33" t="s">
        <v>148</v>
      </c>
    </row>
    <row r="33" customFormat="false" ht="64.9" hidden="false" customHeight="false" outlineLevel="0" collapsed="false">
      <c r="A33" s="50" t="s">
        <v>149</v>
      </c>
      <c r="B33" s="50" t="s">
        <v>51</v>
      </c>
      <c r="C33" s="50" t="s">
        <v>150</v>
      </c>
      <c r="D33" s="50" t="s">
        <v>151</v>
      </c>
      <c r="E33" s="50" t="s">
        <v>68</v>
      </c>
      <c r="F33" s="50" t="s">
        <v>152</v>
      </c>
    </row>
    <row r="34" customFormat="false" ht="18" hidden="false" customHeight="true" outlineLevel="0" collapsed="false">
      <c r="A34" s="37" t="s">
        <v>80</v>
      </c>
      <c r="B34" s="38" t="n">
        <v>250</v>
      </c>
      <c r="C34" s="38" t="s">
        <v>153</v>
      </c>
      <c r="D34" s="38" t="n">
        <v>276396.21</v>
      </c>
      <c r="E34" s="38" t="n">
        <v>1105.58</v>
      </c>
      <c r="F34" s="58" t="s">
        <v>154</v>
      </c>
    </row>
    <row r="35" customFormat="false" ht="18" hidden="false" customHeight="true" outlineLevel="0" collapsed="false">
      <c r="A35" s="43" t="s">
        <v>81</v>
      </c>
      <c r="B35" s="44" t="n">
        <v>231</v>
      </c>
      <c r="C35" s="44" t="s">
        <v>155</v>
      </c>
      <c r="D35" s="44" t="n">
        <v>242600.32</v>
      </c>
      <c r="E35" s="44" t="n">
        <v>1050.22</v>
      </c>
      <c r="F35" s="59" t="s">
        <v>156</v>
      </c>
    </row>
    <row r="36" customFormat="false" ht="18" hidden="false" customHeight="true" outlineLevel="0" collapsed="false">
      <c r="A36" s="25" t="s">
        <v>82</v>
      </c>
      <c r="B36" s="26" t="n">
        <v>237</v>
      </c>
      <c r="C36" s="26" t="s">
        <v>157</v>
      </c>
      <c r="D36" s="26" t="n">
        <v>256328.15</v>
      </c>
      <c r="E36" s="26" t="n">
        <v>1081.55</v>
      </c>
      <c r="F36" s="30" t="s">
        <v>158</v>
      </c>
    </row>
    <row r="37" customFormat="false" ht="18" hidden="false" customHeight="true" outlineLevel="0" collapsed="false">
      <c r="A37" s="37" t="s">
        <v>83</v>
      </c>
      <c r="B37" s="38" t="n">
        <v>247</v>
      </c>
      <c r="C37" s="38" t="s">
        <v>159</v>
      </c>
      <c r="D37" s="38" t="n">
        <v>243277.7</v>
      </c>
      <c r="E37" s="38" t="n">
        <v>984.93</v>
      </c>
      <c r="F37" s="58" t="s">
        <v>154</v>
      </c>
    </row>
    <row r="38" customFormat="false" ht="18" hidden="false" customHeight="true" outlineLevel="0" collapsed="false">
      <c r="A38" s="25" t="s">
        <v>84</v>
      </c>
      <c r="B38" s="26" t="n">
        <v>235</v>
      </c>
      <c r="C38" s="26" t="s">
        <v>160</v>
      </c>
      <c r="D38" s="26" t="n">
        <v>246159.58</v>
      </c>
      <c r="E38" s="26" t="n">
        <v>1047.49</v>
      </c>
      <c r="F38" s="3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23" t="s">
        <v>161</v>
      </c>
    </row>
    <row r="2" customFormat="false" ht="15" hidden="false" customHeight="false" outlineLevel="0" collapsed="false">
      <c r="A2" s="2" t="s">
        <v>162</v>
      </c>
    </row>
    <row r="4" customFormat="false" ht="6" hidden="false" customHeight="true" outlineLevel="0" collapsed="false"/>
    <row r="5" customFormat="false" ht="15" hidden="false" customHeight="false" outlineLevel="0" collapsed="false">
      <c r="A5" s="33" t="s">
        <v>163</v>
      </c>
    </row>
    <row r="6" customFormat="false" ht="18" hidden="false" customHeight="true" outlineLevel="0" collapsed="false">
      <c r="A6" s="60" t="s">
        <v>164</v>
      </c>
      <c r="B6" s="61" t="s">
        <v>165</v>
      </c>
    </row>
    <row r="7" customFormat="false" ht="18" hidden="false" customHeight="true" outlineLevel="0" collapsed="false">
      <c r="A7" s="60" t="s">
        <v>166</v>
      </c>
      <c r="B7" s="61" t="s">
        <v>167</v>
      </c>
    </row>
    <row r="8" customFormat="false" ht="18" hidden="false" customHeight="true" outlineLevel="0" collapsed="false">
      <c r="A8" s="60" t="s">
        <v>168</v>
      </c>
      <c r="B8" s="61" t="s">
        <v>169</v>
      </c>
    </row>
    <row r="9" customFormat="false" ht="18" hidden="false" customHeight="true" outlineLevel="0" collapsed="false">
      <c r="A9" s="62" t="s">
        <v>170</v>
      </c>
      <c r="B9" s="63" t="s">
        <v>171</v>
      </c>
    </row>
    <row r="10" customFormat="false" ht="18" hidden="false" customHeight="true" outlineLevel="0" collapsed="false">
      <c r="A10" s="62" t="s">
        <v>172</v>
      </c>
      <c r="B10" s="63" t="s">
        <v>173</v>
      </c>
    </row>
    <row r="11" customFormat="false" ht="18" hidden="false" customHeight="true" outlineLevel="0" collapsed="false">
      <c r="A11" s="64" t="s">
        <v>174</v>
      </c>
      <c r="B11" s="64" t="s">
        <v>175</v>
      </c>
    </row>
    <row r="14" customFormat="false" ht="15" hidden="false" customHeight="false" outlineLevel="0" collapsed="false">
      <c r="A14" s="65" t="s">
        <v>176</v>
      </c>
    </row>
    <row r="15" customFormat="false" ht="15" hidden="false" customHeight="false" outlineLevel="0" collapsed="false">
      <c r="A15" s="35" t="s">
        <v>177</v>
      </c>
      <c r="B15" s="35" t="s">
        <v>66</v>
      </c>
      <c r="C15" s="35" t="s">
        <v>49</v>
      </c>
      <c r="D15" s="35" t="s">
        <v>178</v>
      </c>
      <c r="E15" s="35" t="s">
        <v>179</v>
      </c>
      <c r="F15" s="35" t="s">
        <v>149</v>
      </c>
      <c r="G15" s="35" t="s">
        <v>180</v>
      </c>
    </row>
    <row r="16" customFormat="false" ht="18" hidden="false" customHeight="true" outlineLevel="0" collapsed="false">
      <c r="A16" s="38" t="s">
        <v>181</v>
      </c>
      <c r="B16" s="38" t="s">
        <v>75</v>
      </c>
      <c r="C16" s="38" t="n">
        <v>5</v>
      </c>
      <c r="D16" s="38" t="n">
        <v>691.28</v>
      </c>
      <c r="E16" s="38" t="n">
        <v>3456.4</v>
      </c>
      <c r="F16" s="38" t="s">
        <v>81</v>
      </c>
      <c r="G16" s="36" t="s">
        <v>182</v>
      </c>
    </row>
    <row r="17" customFormat="false" ht="18" hidden="false" customHeight="true" outlineLevel="0" collapsed="false">
      <c r="A17" s="38" t="s">
        <v>183</v>
      </c>
      <c r="B17" s="38" t="s">
        <v>76</v>
      </c>
      <c r="C17" s="38" t="n">
        <v>5</v>
      </c>
      <c r="D17" s="38" t="n">
        <v>678.19</v>
      </c>
      <c r="E17" s="38" t="n">
        <v>3390.95</v>
      </c>
      <c r="F17" s="38" t="s">
        <v>83</v>
      </c>
      <c r="G17" s="36" t="s">
        <v>182</v>
      </c>
    </row>
    <row r="18" customFormat="false" ht="18" hidden="false" customHeight="true" outlineLevel="0" collapsed="false">
      <c r="A18" s="38" t="s">
        <v>184</v>
      </c>
      <c r="B18" s="38" t="s">
        <v>74</v>
      </c>
      <c r="C18" s="38" t="n">
        <v>5</v>
      </c>
      <c r="D18" s="38" t="n">
        <v>678.16</v>
      </c>
      <c r="E18" s="38" t="n">
        <v>3390.8</v>
      </c>
      <c r="F18" s="38" t="s">
        <v>81</v>
      </c>
      <c r="G18" s="36" t="s">
        <v>182</v>
      </c>
    </row>
    <row r="19" customFormat="false" ht="18" hidden="false" customHeight="true" outlineLevel="0" collapsed="false">
      <c r="A19" s="38" t="s">
        <v>185</v>
      </c>
      <c r="B19" s="38" t="s">
        <v>72</v>
      </c>
      <c r="C19" s="38" t="n">
        <v>5</v>
      </c>
      <c r="D19" s="38" t="n">
        <v>676.98</v>
      </c>
      <c r="E19" s="38" t="n">
        <v>3384.9</v>
      </c>
      <c r="F19" s="38" t="s">
        <v>80</v>
      </c>
      <c r="G19" s="36" t="s">
        <v>182</v>
      </c>
    </row>
    <row r="20" customFormat="false" ht="18" hidden="false" customHeight="true" outlineLevel="0" collapsed="false">
      <c r="A20" s="38" t="s">
        <v>186</v>
      </c>
      <c r="B20" s="38" t="s">
        <v>75</v>
      </c>
      <c r="C20" s="38" t="n">
        <v>5</v>
      </c>
      <c r="D20" s="38" t="n">
        <v>674.04</v>
      </c>
      <c r="E20" s="38" t="n">
        <v>3370.2</v>
      </c>
      <c r="F20" s="38" t="s">
        <v>80</v>
      </c>
      <c r="G20" s="36" t="s">
        <v>182</v>
      </c>
    </row>
    <row r="21" customFormat="false" ht="18" hidden="false" customHeight="true" outlineLevel="0" collapsed="false">
      <c r="A21" s="38" t="s">
        <v>187</v>
      </c>
      <c r="B21" s="38" t="s">
        <v>73</v>
      </c>
      <c r="C21" s="38" t="n">
        <v>5</v>
      </c>
      <c r="D21" s="38" t="n">
        <v>670.75</v>
      </c>
      <c r="E21" s="38" t="n">
        <v>3353.75</v>
      </c>
      <c r="F21" s="38" t="s">
        <v>84</v>
      </c>
      <c r="G21" s="36" t="s">
        <v>182</v>
      </c>
    </row>
    <row r="22" customFormat="false" ht="18" hidden="false" customHeight="true" outlineLevel="0" collapsed="false">
      <c r="A22" s="38" t="s">
        <v>188</v>
      </c>
      <c r="B22" s="38" t="s">
        <v>74</v>
      </c>
      <c r="C22" s="38" t="n">
        <v>5</v>
      </c>
      <c r="D22" s="38" t="n">
        <v>670.48</v>
      </c>
      <c r="E22" s="38" t="n">
        <v>3352.4</v>
      </c>
      <c r="F22" s="38" t="s">
        <v>83</v>
      </c>
      <c r="G22" s="36" t="s">
        <v>182</v>
      </c>
    </row>
    <row r="23" customFormat="false" ht="18" hidden="false" customHeight="true" outlineLevel="0" collapsed="false">
      <c r="A23" s="38" t="s">
        <v>189</v>
      </c>
      <c r="B23" s="38" t="s">
        <v>73</v>
      </c>
      <c r="C23" s="38" t="n">
        <v>5</v>
      </c>
      <c r="D23" s="38" t="n">
        <v>666.8</v>
      </c>
      <c r="E23" s="38" t="n">
        <v>3334</v>
      </c>
      <c r="F23" s="38" t="s">
        <v>81</v>
      </c>
      <c r="G23" s="36" t="s">
        <v>182</v>
      </c>
    </row>
    <row r="26" customFormat="false" ht="15" hidden="false" customHeight="false" outlineLevel="0" collapsed="false">
      <c r="A26" s="33" t="s">
        <v>190</v>
      </c>
    </row>
    <row r="27" customFormat="false" ht="15" hidden="false" customHeight="false" outlineLevel="0" collapsed="false">
      <c r="A27" s="24"/>
      <c r="B27" s="24" t="s">
        <v>49</v>
      </c>
      <c r="C27" s="24" t="s">
        <v>191</v>
      </c>
      <c r="D27" s="24" t="s">
        <v>50</v>
      </c>
      <c r="E27" s="24" t="s">
        <v>192</v>
      </c>
    </row>
    <row r="28" customFormat="false" ht="18" hidden="false" customHeight="true" outlineLevel="0" collapsed="false">
      <c r="A28" s="24" t="s">
        <v>49</v>
      </c>
      <c r="B28" s="66" t="n">
        <v>1</v>
      </c>
      <c r="C28" s="67" t="n">
        <v>0.015</v>
      </c>
      <c r="D28" s="68" t="n">
        <v>0.65</v>
      </c>
      <c r="E28" s="68" t="n">
        <v>0.615</v>
      </c>
    </row>
    <row r="29" customFormat="false" ht="18" hidden="false" customHeight="true" outlineLevel="0" collapsed="false">
      <c r="A29" s="24" t="s">
        <v>191</v>
      </c>
      <c r="B29" s="67" t="n">
        <v>0.015</v>
      </c>
      <c r="C29" s="66" t="n">
        <v>1</v>
      </c>
      <c r="D29" s="67" t="n">
        <v>0.001</v>
      </c>
      <c r="E29" s="68" t="n">
        <v>0.717</v>
      </c>
    </row>
    <row r="30" customFormat="false" ht="18" hidden="false" customHeight="true" outlineLevel="0" collapsed="false">
      <c r="A30" s="24" t="s">
        <v>50</v>
      </c>
      <c r="B30" s="68" t="n">
        <v>0.65</v>
      </c>
      <c r="C30" s="67" t="n">
        <v>0.001</v>
      </c>
      <c r="D30" s="66" t="n">
        <v>1</v>
      </c>
      <c r="E30" s="69" t="n">
        <v>0.393</v>
      </c>
    </row>
    <row r="31" customFormat="false" ht="18" hidden="false" customHeight="true" outlineLevel="0" collapsed="false">
      <c r="A31" s="24" t="s">
        <v>192</v>
      </c>
      <c r="B31" s="68" t="n">
        <v>0.615</v>
      </c>
      <c r="C31" s="68" t="n">
        <v>0.717</v>
      </c>
      <c r="D31" s="69" t="n">
        <v>0.393</v>
      </c>
      <c r="E31" s="66" t="n">
        <v>1</v>
      </c>
    </row>
    <row r="34" customFormat="false" ht="15" hidden="false" customHeight="false" outlineLevel="0" collapsed="false">
      <c r="A34" s="33" t="s">
        <v>193</v>
      </c>
    </row>
    <row r="35" customFormat="false" ht="26.85" hidden="false" customHeight="false" outlineLevel="0" collapsed="false">
      <c r="A35" s="24" t="s">
        <v>194</v>
      </c>
      <c r="B35" s="24" t="s">
        <v>195</v>
      </c>
      <c r="C35" s="24" t="s">
        <v>196</v>
      </c>
    </row>
    <row r="36" customFormat="false" ht="19.5" hidden="false" customHeight="true" outlineLevel="0" collapsed="false">
      <c r="A36" s="44" t="s">
        <v>197</v>
      </c>
      <c r="B36" s="70" t="s">
        <v>198</v>
      </c>
      <c r="C36" s="71" t="s">
        <v>199</v>
      </c>
    </row>
    <row r="37" customFormat="false" ht="19.5" hidden="false" customHeight="true" outlineLevel="0" collapsed="false">
      <c r="A37" s="44" t="s">
        <v>200</v>
      </c>
      <c r="B37" s="70" t="s">
        <v>201</v>
      </c>
      <c r="C37" s="71" t="s">
        <v>202</v>
      </c>
    </row>
    <row r="38" customFormat="false" ht="19.5" hidden="false" customHeight="true" outlineLevel="0" collapsed="false">
      <c r="A38" s="44" t="s">
        <v>203</v>
      </c>
      <c r="B38" s="70" t="s">
        <v>204</v>
      </c>
      <c r="C38" s="71" t="s">
        <v>205</v>
      </c>
    </row>
    <row r="39" customFormat="false" ht="19.5" hidden="false" customHeight="true" outlineLevel="0" collapsed="false">
      <c r="A39" s="41" t="s">
        <v>206</v>
      </c>
      <c r="B39" s="72" t="s">
        <v>207</v>
      </c>
      <c r="C39" s="73" t="s">
        <v>208</v>
      </c>
    </row>
    <row r="40" customFormat="false" ht="19.5" hidden="false" customHeight="true" outlineLevel="0" collapsed="false">
      <c r="A40" s="26" t="s">
        <v>209</v>
      </c>
      <c r="B40" s="74" t="s">
        <v>210</v>
      </c>
      <c r="C40" s="75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23" t="s">
        <v>212</v>
      </c>
    </row>
    <row r="2" customFormat="false" ht="15" hidden="false" customHeight="false" outlineLevel="0" collapsed="false">
      <c r="A2" s="2" t="s">
        <v>213</v>
      </c>
    </row>
    <row r="4" customFormat="false" ht="6" hidden="false" customHeight="true" outlineLevel="0" collapsed="false"/>
    <row r="5" customFormat="false" ht="26.85" hidden="false" customHeight="false" outlineLevel="0" collapsed="false">
      <c r="A5" s="24" t="s">
        <v>214</v>
      </c>
      <c r="B5" s="24" t="s">
        <v>215</v>
      </c>
      <c r="C5" s="24" t="s">
        <v>216</v>
      </c>
      <c r="D5" s="24" t="s">
        <v>68</v>
      </c>
      <c r="E5" s="24" t="s">
        <v>67</v>
      </c>
      <c r="F5" s="24" t="s">
        <v>71</v>
      </c>
    </row>
    <row r="6" customFormat="false" ht="18" hidden="false" customHeight="true" outlineLevel="0" collapsed="false">
      <c r="A6" s="76" t="n">
        <v>1</v>
      </c>
      <c r="B6" s="47" t="n">
        <v>255</v>
      </c>
      <c r="C6" s="47" t="n">
        <v>21.2</v>
      </c>
      <c r="D6" s="47" t="n">
        <v>351.88</v>
      </c>
      <c r="E6" s="47" t="n">
        <v>89728.29</v>
      </c>
      <c r="F6" s="47" t="n">
        <v>7.1</v>
      </c>
    </row>
    <row r="7" customFormat="false" ht="18" hidden="false" customHeight="true" outlineLevel="0" collapsed="false">
      <c r="A7" s="59" t="n">
        <v>2</v>
      </c>
      <c r="B7" s="44" t="n">
        <v>240</v>
      </c>
      <c r="C7" s="44" t="n">
        <v>20</v>
      </c>
      <c r="D7" s="44" t="n">
        <v>690.54</v>
      </c>
      <c r="E7" s="44" t="n">
        <v>165729.68</v>
      </c>
      <c r="F7" s="44" t="n">
        <v>13.1</v>
      </c>
    </row>
    <row r="8" customFormat="false" ht="18" hidden="false" customHeight="true" outlineLevel="0" collapsed="false">
      <c r="A8" s="77" t="n">
        <v>3</v>
      </c>
      <c r="B8" s="41" t="n">
        <v>237</v>
      </c>
      <c r="C8" s="41" t="n">
        <v>19.8</v>
      </c>
      <c r="D8" s="41" t="n">
        <v>1102.43</v>
      </c>
      <c r="E8" s="41" t="n">
        <v>261276.18</v>
      </c>
      <c r="F8" s="41" t="n">
        <v>20.7</v>
      </c>
    </row>
    <row r="9" customFormat="false" ht="18" hidden="false" customHeight="true" outlineLevel="0" collapsed="false">
      <c r="A9" s="58" t="n">
        <v>4</v>
      </c>
      <c r="B9" s="38" t="n">
        <v>251</v>
      </c>
      <c r="C9" s="38" t="n">
        <v>20.9</v>
      </c>
      <c r="D9" s="38" t="n">
        <v>1466.5</v>
      </c>
      <c r="E9" s="38" t="n">
        <v>368090.96</v>
      </c>
      <c r="F9" s="38" t="n">
        <v>29.1</v>
      </c>
    </row>
    <row r="10" customFormat="false" ht="18" hidden="false" customHeight="true" outlineLevel="0" collapsed="false">
      <c r="A10" s="30" t="n">
        <v>5</v>
      </c>
      <c r="B10" s="26" t="n">
        <v>217</v>
      </c>
      <c r="C10" s="26" t="n">
        <v>18.1</v>
      </c>
      <c r="D10" s="26" t="n">
        <v>1750.86</v>
      </c>
      <c r="E10" s="26" t="n">
        <v>379936.85</v>
      </c>
      <c r="F10" s="26" t="n">
        <v>30</v>
      </c>
    </row>
    <row r="12" customFormat="false" ht="15" hidden="false" customHeight="false" outlineLevel="0" collapsed="false">
      <c r="A12" s="78" t="s">
        <v>217</v>
      </c>
    </row>
    <row r="13" customFormat="false" ht="19.5" hidden="false" customHeight="true" outlineLevel="0" collapsed="false">
      <c r="A13" s="79" t="s">
        <v>218</v>
      </c>
    </row>
    <row r="14" customFormat="false" ht="19.5" hidden="false" customHeight="true" outlineLevel="0" collapsed="false">
      <c r="A14" s="79" t="s">
        <v>219</v>
      </c>
    </row>
    <row r="15" customFormat="false" ht="19.5" hidden="false" customHeight="true" outlineLevel="0" collapsed="false">
      <c r="A15" s="79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2026-05-26T06:04:25Z</dcterms:created>
  <dc:creator>openpyxl</dc:creator>
  <dc:description/>
  <dc:language>en-US</dc:language>
  <cp:lastModifiedBy/>
  <dcterms:modified xsi:type="dcterms:W3CDTF">2026-05-26T06:04:32Z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